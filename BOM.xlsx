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86588c229cb83e/Documents/Documents/Drone/PCB/"/>
    </mc:Choice>
  </mc:AlternateContent>
  <xr:revisionPtr revIDLastSave="34" documentId="8_{DAC79D77-B3ED-4BF8-BBA1-B4AE5B7109C8}" xr6:coauthVersionLast="47" xr6:coauthVersionMax="47" xr10:uidLastSave="{809F2F85-9E22-4F55-98B7-A6056CBAB9DE}"/>
  <bookViews>
    <workbookView minimized="1" xWindow="735" yWindow="735" windowWidth="14400" windowHeight="8183" xr2:uid="{06F1B404-6798-46A9-B5EF-C25E389DFB9C}"/>
  </bookViews>
  <sheets>
    <sheet name="BOM" sheetId="2" r:id="rId1"/>
    <sheet name="LCSC Components" sheetId="1" r:id="rId2"/>
  </sheets>
  <definedNames>
    <definedName name="_xlnm.Print_Titles" localSheetId="1">'LCSC Components'!$1:$1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</calcChain>
</file>

<file path=xl/sharedStrings.xml><?xml version="1.0" encoding="utf-8"?>
<sst xmlns="http://schemas.openxmlformats.org/spreadsheetml/2006/main" count="150" uniqueCount="142">
  <si>
    <t>Comment</t>
  </si>
  <si>
    <t>Description</t>
  </si>
  <si>
    <t>Designator</t>
  </si>
  <si>
    <t>Footprint</t>
  </si>
  <si>
    <t>LibRef</t>
  </si>
  <si>
    <t>Quantity</t>
  </si>
  <si>
    <t>JLCNUM</t>
  </si>
  <si>
    <t>15pF</t>
  </si>
  <si>
    <t>CAP CER 15PF 50V C0G/NPO 0402</t>
  </si>
  <si>
    <t>C1</t>
  </si>
  <si>
    <t>FP-CC0402-0_55-IPC_B</t>
  </si>
  <si>
    <t>CMP-03422-001519-1</t>
  </si>
  <si>
    <t>C1548</t>
  </si>
  <si>
    <t>0.1uF</t>
  </si>
  <si>
    <t>Chip Multilayer Ceramic Capacitors for General Purpose, 0402, 0.10uF, X7R, 15%, 10%, 50V</t>
  </si>
  <si>
    <t>C2, C5, C6, C12</t>
  </si>
  <si>
    <t>FP-GRM155-0_05-IPC_B</t>
  </si>
  <si>
    <t>CMP-2008-04639-2</t>
  </si>
  <si>
    <t>C307331</t>
  </si>
  <si>
    <t>10uF</t>
  </si>
  <si>
    <t>CAP CER 10UF 10V X5R 0603</t>
  </si>
  <si>
    <t>C3, C9, C14</t>
  </si>
  <si>
    <t>FP-GRM18-0_15-MFG</t>
  </si>
  <si>
    <t>CMP-2000-05448-2</t>
  </si>
  <si>
    <t>C19702</t>
  </si>
  <si>
    <t>CAP CER 0.1UF 50V X7R 0603</t>
  </si>
  <si>
    <t>C4, C8, C11, C13</t>
  </si>
  <si>
    <t>FP-CC0603-DA-MFG</t>
  </si>
  <si>
    <t>CMP-2100-03601-2</t>
  </si>
  <si>
    <t>C14663</t>
  </si>
  <si>
    <t>1uF</t>
  </si>
  <si>
    <t>CAP CER 1UF 50V X7R 0603</t>
  </si>
  <si>
    <t>C7, C10</t>
  </si>
  <si>
    <t>FP-CC0603-DB-MFG</t>
  </si>
  <si>
    <t>CMP-03422-000761-2</t>
  </si>
  <si>
    <t>C15849</t>
  </si>
  <si>
    <t>SM4007PL</t>
  </si>
  <si>
    <t>Silion Rectifier, 1 A, 1000 V, -65 to 175 degC, 2-Pin SMD, RoHS, Tape and Reel</t>
  </si>
  <si>
    <t>D1</t>
  </si>
  <si>
    <t>MCC-SOD-123FL_V</t>
  </si>
  <si>
    <t>CMP-2000-07084-1</t>
  </si>
  <si>
    <t>C64898</t>
  </si>
  <si>
    <t>USBLC6-2P6</t>
  </si>
  <si>
    <t>TVS DIODE 5.25V 17V SOT666</t>
  </si>
  <si>
    <t>D2</t>
  </si>
  <si>
    <t>FP-SOT-666-MFG</t>
  </si>
  <si>
    <t>CMP-12225-000058-1</t>
  </si>
  <si>
    <t>C15999</t>
  </si>
  <si>
    <t>LTST-C191GKT</t>
  </si>
  <si>
    <t>LED GREEN CLEAR CHIP SMD</t>
  </si>
  <si>
    <t>D3, D4</t>
  </si>
  <si>
    <t>FP-LTST-C191GKT-MFG</t>
  </si>
  <si>
    <t>CMP-22017-000029-1</t>
  </si>
  <si>
    <t>C99289</t>
  </si>
  <si>
    <t>F31W-1A7H1-11024</t>
  </si>
  <si>
    <t>Flex Connector, 0.50mm Pitch, Height 4.25mm, Vertical, Slider type, ZIF, 24 position, Without MYLAR</t>
  </si>
  <si>
    <t>J1</t>
  </si>
  <si>
    <t>AMPHENOL_F31W-1A7H1-11024</t>
  </si>
  <si>
    <t>CMP-002-00071-1</t>
  </si>
  <si>
    <t>C5406215</t>
  </si>
  <si>
    <t>USB4105-GF-A</t>
  </si>
  <si>
    <t/>
  </si>
  <si>
    <t>J2</t>
  </si>
  <si>
    <t>GCT_USB4105-GF-A</t>
  </si>
  <si>
    <t>CMP-003-000000-3</t>
  </si>
  <si>
    <t>C2765186</t>
  </si>
  <si>
    <t>Conn_Pad_01x08</t>
  </si>
  <si>
    <t>J3, J4</t>
  </si>
  <si>
    <t>CONN_SM08B-GHS-TB_JST</t>
  </si>
  <si>
    <t>CMP-005-000000-2</t>
  </si>
  <si>
    <t>5k1</t>
  </si>
  <si>
    <t>R1, R2</t>
  </si>
  <si>
    <t>RESC1608X55X25ML10T15</t>
  </si>
  <si>
    <t>CMP-2000-04091-1</t>
  </si>
  <si>
    <t>C23186</t>
  </si>
  <si>
    <t>22R</t>
  </si>
  <si>
    <t>Chip Resistor, 22 Ohm, +/- 1%, 0.1 W, -55 to 155 degC, 0603 (1608 Metric), RoHS, Tape and Reel</t>
  </si>
  <si>
    <t>R3, R4</t>
  </si>
  <si>
    <t>RESC1608X55X25NL10T15</t>
  </si>
  <si>
    <t>CMP-1659-00033-1</t>
  </si>
  <si>
    <t>C23345</t>
  </si>
  <si>
    <t>1k</t>
  </si>
  <si>
    <t>RES 1K OHM 1% 1/10W 0603</t>
  </si>
  <si>
    <t>R5</t>
  </si>
  <si>
    <t>FP-RC0603-0_55-IPC_C</t>
  </si>
  <si>
    <t>CMP-1659-00009-5</t>
  </si>
  <si>
    <t>C21190</t>
  </si>
  <si>
    <t>470R</t>
  </si>
  <si>
    <t>General Purpose Chip Resistor, 470 Ohm, +/- 1%, -55 to 155 degC, 0603 (1608 Metric), RoHS, Tape and Reel</t>
  </si>
  <si>
    <t>R6, R7</t>
  </si>
  <si>
    <t>RESC1608X55X25LL10T15</t>
  </si>
  <si>
    <t>CMP-1659-00035-2</t>
  </si>
  <si>
    <t>C23179</t>
  </si>
  <si>
    <t>10k</t>
  </si>
  <si>
    <t>RES 10K OHM 1% 1/10W 0603</t>
  </si>
  <si>
    <t>R8, R9</t>
  </si>
  <si>
    <t>CMP-2100-03664-2</t>
  </si>
  <si>
    <t>C25804</t>
  </si>
  <si>
    <t>Jumper 0603</t>
  </si>
  <si>
    <t>R10</t>
  </si>
  <si>
    <t>RESC0603(1608)_L</t>
  </si>
  <si>
    <t>CMP-009-00175-3</t>
  </si>
  <si>
    <t>4k7</t>
  </si>
  <si>
    <t>Chip Resistor, 4.7 KOhm, +/- 1%, 0.1 W, -55 to 155 degC, 0603 (1608 Metric), RoHS, Tape and Reel</t>
  </si>
  <si>
    <t>R11, R12</t>
  </si>
  <si>
    <t>CMP-2000-06942-1</t>
  </si>
  <si>
    <t>C23162</t>
  </si>
  <si>
    <t>ESP32-S3-WROOM-1U-N16R8</t>
  </si>
  <si>
    <t>U1</t>
  </si>
  <si>
    <t>ESP32-S3-WROOM-1U_EXP</t>
  </si>
  <si>
    <t>CMP-288-000000-2</t>
  </si>
  <si>
    <t>C3013946</t>
  </si>
  <si>
    <t>LD1117S33CTR</t>
  </si>
  <si>
    <t>IC REG LINEAR 3.3V 800MA SOT223</t>
  </si>
  <si>
    <t>U2</t>
  </si>
  <si>
    <t>FP-SOT-223-0046067_14-MFG</t>
  </si>
  <si>
    <t>CMP-0244-00307-2</t>
  </si>
  <si>
    <t>C35879</t>
  </si>
  <si>
    <t>TLV77328PDBVR</t>
  </si>
  <si>
    <t>300-mA high-PSRR low-IQ low-dropout regulator with enable 5-SOT-23 -40 to 85</t>
  </si>
  <si>
    <t>U3</t>
  </si>
  <si>
    <t>DBV0005A_MFG</t>
  </si>
  <si>
    <t>CMP-00370-149257704-1</t>
  </si>
  <si>
    <t>C31261045</t>
  </si>
  <si>
    <t>LD1117S12TR</t>
  </si>
  <si>
    <t>Fixed Low Drop Positive Voltage Regulator, 1.2V, 4-Pin SOT-223, Tape and Reel</t>
  </si>
  <si>
    <t>U4</t>
  </si>
  <si>
    <t>SOT-223_M</t>
  </si>
  <si>
    <t>CMP-0244-00318-1</t>
  </si>
  <si>
    <t>C155612</t>
  </si>
  <si>
    <t>Item</t>
  </si>
  <si>
    <t>Cost</t>
  </si>
  <si>
    <t>Link</t>
  </si>
  <si>
    <t>PCB from JLC</t>
  </si>
  <si>
    <t>ESP32-WROOM-1U</t>
  </si>
  <si>
    <t>OV2640 Camera</t>
  </si>
  <si>
    <t>Subtotal</t>
  </si>
  <si>
    <t>Tax (13%)</t>
  </si>
  <si>
    <t>Total</t>
  </si>
  <si>
    <t>https://github.com/AdamTuraj/ESP-CAM/Images/Cart.png</t>
  </si>
  <si>
    <t>https://www.lcsc.com/product-detail/C3013946.html</t>
  </si>
  <si>
    <t>https://www.aliexpress.com/item/1005003040149873.html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</si>
</sst>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8" fontId="0" fillId="0" borderId="0" xfId="0" applyNumberFormat="1"/>
    <xf numFmtId="0" fontId="2" fillId="0" borderId="0" xfId="1"/>
    <xf numFmtId="0" fontId="1" fillId="0" borderId="0" xfId="0" applyFont="1"/>
    <xf numFmtId="8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AdamTuraj/ESP-CAM/Images/Cart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B636C-318B-4D1B-92DD-1A200784988B}">
  <dimension ref="A1:D8"/>
  <sheetViews>
    <sheetView tabSelected="1" workbookViewId="0">
      <selection activeCell="C8" sqref="C8"/>
    </sheetView>
  </sheetViews>
  <sheetFormatPr defaultRowHeight="14.25" x14ac:dyDescent="0.45"/>
  <cols>
    <col min="1" max="1" width="15.796875" bestFit="1" customWidth="1"/>
    <col min="4" max="4" width="48.19921875" bestFit="1" customWidth="1"/>
  </cols>
  <sheetData>
    <row r="1" spans="1:4" x14ac:dyDescent="0.45">
      <c r="A1" s="7" t="s">
        <v>130</v>
      </c>
      <c r="B1" s="7" t="s">
        <v>131</v>
      </c>
      <c r="C1" s="7" t="s">
        <v>5</v>
      </c>
      <c r="D1" s="7" t="s">
        <v>132</v>
      </c>
    </row>
    <row r="2" spans="1:4" x14ac:dyDescent="0.45">
      <c r="A2" t="s">
        <v>133</v>
      </c>
      <c r="B2" s="5">
        <v>45.51</v>
      </c>
      <c r="C2">
        <v>1</v>
      </c>
      <c r="D2" s="6" t="s">
        <v>139</v>
      </c>
    </row>
    <row r="3" spans="1:4" x14ac:dyDescent="0.45">
      <c r="A3" t="s">
        <v>134</v>
      </c>
      <c r="B3" s="5">
        <v>5.33</v>
      </c>
      <c r="C3">
        <v>1</v>
      </c>
      <c r="D3" t="s">
        <v>140</v>
      </c>
    </row>
    <row r="4" spans="1:4" x14ac:dyDescent="0.45">
      <c r="A4" t="s">
        <v>135</v>
      </c>
      <c r="B4" s="5">
        <v>6.65</v>
      </c>
      <c r="C4">
        <v>1</v>
      </c>
      <c r="D4" t="s">
        <v>141</v>
      </c>
    </row>
    <row r="6" spans="1:4" x14ac:dyDescent="0.45">
      <c r="A6" t="s">
        <v>136</v>
      </c>
      <c r="B6" s="5">
        <f>B2+B3+B4</f>
        <v>57.489999999999995</v>
      </c>
    </row>
    <row r="7" spans="1:4" x14ac:dyDescent="0.45">
      <c r="A7" t="s">
        <v>137</v>
      </c>
      <c r="B7" s="5">
        <f>B6*0.13</f>
        <v>7.4737</v>
      </c>
    </row>
    <row r="8" spans="1:4" x14ac:dyDescent="0.45">
      <c r="A8" s="7" t="s">
        <v>138</v>
      </c>
      <c r="B8" s="8">
        <f>B6+B7</f>
        <v>64.963699999999989</v>
      </c>
    </row>
  </sheetData>
  <hyperlinks>
    <hyperlink ref="D2" r:id="rId1" xr:uid="{CE96D67D-A80D-411E-9CD4-A1D644270567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596D-FAF9-4326-8AC0-89CEF051F7BE}">
  <dimension ref="A1:G23"/>
  <sheetViews>
    <sheetView workbookViewId="0"/>
  </sheetViews>
  <sheetFormatPr defaultRowHeight="14.25" x14ac:dyDescent="0.45"/>
  <cols>
    <col min="1" max="6" width="18.53125" customWidth="1"/>
    <col min="7" max="7" width="15.53125" customWidth="1"/>
  </cols>
  <sheetData>
    <row r="1" spans="1:7" s="4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1</v>
      </c>
      <c r="G2" s="2" t="s">
        <v>12</v>
      </c>
    </row>
    <row r="3" spans="1:7" x14ac:dyDescent="0.4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1">
        <v>4</v>
      </c>
      <c r="G3" s="2" t="s">
        <v>18</v>
      </c>
    </row>
    <row r="4" spans="1:7" x14ac:dyDescent="0.45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1">
        <v>3</v>
      </c>
      <c r="G4" s="2" t="s">
        <v>24</v>
      </c>
    </row>
    <row r="5" spans="1:7" x14ac:dyDescent="0.45">
      <c r="A5" s="2" t="s">
        <v>13</v>
      </c>
      <c r="B5" s="2" t="s">
        <v>25</v>
      </c>
      <c r="C5" s="2" t="s">
        <v>26</v>
      </c>
      <c r="D5" s="2" t="s">
        <v>27</v>
      </c>
      <c r="E5" s="2" t="s">
        <v>28</v>
      </c>
      <c r="F5" s="1">
        <v>4</v>
      </c>
      <c r="G5" s="2" t="s">
        <v>29</v>
      </c>
    </row>
    <row r="6" spans="1:7" x14ac:dyDescent="0.4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1">
        <v>2</v>
      </c>
      <c r="G6" s="2" t="s">
        <v>35</v>
      </c>
    </row>
    <row r="7" spans="1:7" x14ac:dyDescent="0.45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1">
        <v>1</v>
      </c>
      <c r="G7" s="2" t="s">
        <v>41</v>
      </c>
    </row>
    <row r="8" spans="1:7" x14ac:dyDescent="0.45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1">
        <v>1</v>
      </c>
      <c r="G8" s="2" t="s">
        <v>47</v>
      </c>
    </row>
    <row r="9" spans="1:7" x14ac:dyDescent="0.45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1">
        <v>2</v>
      </c>
      <c r="G9" s="2" t="s">
        <v>53</v>
      </c>
    </row>
    <row r="10" spans="1:7" x14ac:dyDescent="0.45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1">
        <v>1</v>
      </c>
      <c r="G10" s="2" t="s">
        <v>59</v>
      </c>
    </row>
    <row r="11" spans="1:7" x14ac:dyDescent="0.45">
      <c r="A11" s="2" t="s">
        <v>60</v>
      </c>
      <c r="B11" s="2" t="s">
        <v>61</v>
      </c>
      <c r="C11" s="2" t="s">
        <v>62</v>
      </c>
      <c r="D11" s="2" t="s">
        <v>63</v>
      </c>
      <c r="E11" s="2" t="s">
        <v>64</v>
      </c>
      <c r="F11" s="1">
        <v>1</v>
      </c>
      <c r="G11" s="2" t="s">
        <v>65</v>
      </c>
    </row>
    <row r="12" spans="1:7" x14ac:dyDescent="0.45">
      <c r="A12" s="2" t="s">
        <v>66</v>
      </c>
      <c r="B12" s="2" t="s">
        <v>1</v>
      </c>
      <c r="C12" s="2" t="s">
        <v>67</v>
      </c>
      <c r="D12" s="2" t="s">
        <v>68</v>
      </c>
      <c r="E12" s="2" t="s">
        <v>69</v>
      </c>
      <c r="F12" s="1">
        <v>2</v>
      </c>
      <c r="G12" s="1"/>
    </row>
    <row r="13" spans="1:7" x14ac:dyDescent="0.45">
      <c r="A13" s="2" t="s">
        <v>70</v>
      </c>
      <c r="B13" s="2" t="s">
        <v>61</v>
      </c>
      <c r="C13" s="2" t="s">
        <v>71</v>
      </c>
      <c r="D13" s="2" t="s">
        <v>72</v>
      </c>
      <c r="E13" s="2" t="s">
        <v>73</v>
      </c>
      <c r="F13" s="1">
        <v>2</v>
      </c>
      <c r="G13" s="2" t="s">
        <v>74</v>
      </c>
    </row>
    <row r="14" spans="1:7" x14ac:dyDescent="0.4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1">
        <v>2</v>
      </c>
      <c r="G14" s="2" t="s">
        <v>80</v>
      </c>
    </row>
    <row r="15" spans="1:7" x14ac:dyDescent="0.4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1">
        <v>1</v>
      </c>
      <c r="G15" s="2" t="s">
        <v>86</v>
      </c>
    </row>
    <row r="16" spans="1:7" x14ac:dyDescent="0.45">
      <c r="A16" s="2" t="s">
        <v>87</v>
      </c>
      <c r="B16" s="2" t="s">
        <v>88</v>
      </c>
      <c r="C16" s="2" t="s">
        <v>89</v>
      </c>
      <c r="D16" s="2" t="s">
        <v>90</v>
      </c>
      <c r="E16" s="2" t="s">
        <v>91</v>
      </c>
      <c r="F16" s="1">
        <v>2</v>
      </c>
      <c r="G16" s="2" t="s">
        <v>92</v>
      </c>
    </row>
    <row r="17" spans="1:7" x14ac:dyDescent="0.45">
      <c r="A17" s="2" t="s">
        <v>93</v>
      </c>
      <c r="B17" s="2" t="s">
        <v>94</v>
      </c>
      <c r="C17" s="2" t="s">
        <v>95</v>
      </c>
      <c r="D17" s="2" t="s">
        <v>84</v>
      </c>
      <c r="E17" s="2" t="s">
        <v>96</v>
      </c>
      <c r="F17" s="1">
        <v>2</v>
      </c>
      <c r="G17" s="2" t="s">
        <v>97</v>
      </c>
    </row>
    <row r="18" spans="1:7" x14ac:dyDescent="0.45">
      <c r="A18" s="2" t="s">
        <v>98</v>
      </c>
      <c r="B18" s="2" t="s">
        <v>98</v>
      </c>
      <c r="C18" s="2" t="s">
        <v>99</v>
      </c>
      <c r="D18" s="2" t="s">
        <v>100</v>
      </c>
      <c r="E18" s="2" t="s">
        <v>101</v>
      </c>
      <c r="F18" s="1">
        <v>1</v>
      </c>
      <c r="G18" s="1"/>
    </row>
    <row r="19" spans="1:7" x14ac:dyDescent="0.45">
      <c r="A19" s="2" t="s">
        <v>102</v>
      </c>
      <c r="B19" s="2" t="s">
        <v>103</v>
      </c>
      <c r="C19" s="2" t="s">
        <v>104</v>
      </c>
      <c r="D19" s="2" t="s">
        <v>90</v>
      </c>
      <c r="E19" s="2" t="s">
        <v>105</v>
      </c>
      <c r="F19" s="1">
        <v>2</v>
      </c>
      <c r="G19" s="2" t="s">
        <v>106</v>
      </c>
    </row>
    <row r="20" spans="1:7" x14ac:dyDescent="0.45">
      <c r="A20" s="2" t="s">
        <v>107</v>
      </c>
      <c r="B20" s="2" t="s">
        <v>1</v>
      </c>
      <c r="C20" s="2" t="s">
        <v>108</v>
      </c>
      <c r="D20" s="2" t="s">
        <v>109</v>
      </c>
      <c r="E20" s="2" t="s">
        <v>110</v>
      </c>
      <c r="F20" s="1">
        <v>1</v>
      </c>
      <c r="G20" s="2" t="s">
        <v>111</v>
      </c>
    </row>
    <row r="21" spans="1:7" x14ac:dyDescent="0.45">
      <c r="A21" s="2" t="s">
        <v>112</v>
      </c>
      <c r="B21" s="2" t="s">
        <v>113</v>
      </c>
      <c r="C21" s="2" t="s">
        <v>114</v>
      </c>
      <c r="D21" s="2" t="s">
        <v>115</v>
      </c>
      <c r="E21" s="2" t="s">
        <v>116</v>
      </c>
      <c r="F21" s="1">
        <v>1</v>
      </c>
      <c r="G21" s="2" t="s">
        <v>117</v>
      </c>
    </row>
    <row r="22" spans="1:7" x14ac:dyDescent="0.45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1">
        <v>1</v>
      </c>
      <c r="G22" s="2" t="s">
        <v>123</v>
      </c>
    </row>
    <row r="23" spans="1:7" x14ac:dyDescent="0.45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128</v>
      </c>
      <c r="F23" s="1">
        <v>1</v>
      </c>
      <c r="G23" s="2" t="s">
        <v>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LCSC Components</vt:lpstr>
      <vt:lpstr>'LCSC Components'!Print_Titles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Turaj</dc:creator>
  <cp:lastModifiedBy>Adam Turaj</cp:lastModifiedBy>
  <dcterms:created xsi:type="dcterms:W3CDTF">2026-02-08T18:38:58Z</dcterms:created>
  <dcterms:modified xsi:type="dcterms:W3CDTF">2026-02-11T00:03:33Z</dcterms:modified>
</cp:coreProperties>
</file>